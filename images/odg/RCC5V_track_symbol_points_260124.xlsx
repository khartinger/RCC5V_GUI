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4915" windowHeight="12600"/>
  </bookViews>
  <sheets>
    <sheet name="Text3" sheetId="4" r:id="rId1"/>
    <sheet name="Tabelle2" sheetId="2" r:id="rId2"/>
    <sheet name="Tabelle3" sheetId="3" r:id="rId3"/>
  </sheets>
  <definedNames>
    <definedName name="dxo2_">Text3!$B$20</definedName>
    <definedName name="dyo2_">Text3!$B$14</definedName>
    <definedName name="tk2_">Text3!$B$27</definedName>
    <definedName name="tkk_">Text3!$B$28</definedName>
    <definedName name="tkw_">Text3!$B$29</definedName>
  </definedNames>
  <calcPr calcId="125725"/>
</workbook>
</file>

<file path=xl/calcChain.xml><?xml version="1.0" encoding="utf-8"?>
<calcChain xmlns="http://schemas.openxmlformats.org/spreadsheetml/2006/main">
  <c r="B44" i="4"/>
  <c r="B42"/>
  <c r="B41"/>
  <c r="B48"/>
  <c r="B47"/>
  <c r="B10"/>
  <c r="B24"/>
  <c r="B16"/>
  <c r="B43" l="1"/>
  <c r="B33"/>
  <c r="B11"/>
  <c r="B13" s="1"/>
  <c r="B27" s="1"/>
  <c r="B12" l="1"/>
  <c r="B52" l="1"/>
  <c r="B58"/>
  <c r="B19"/>
  <c r="B20" s="1"/>
  <c r="B14"/>
  <c r="B15"/>
  <c r="B21" s="1"/>
  <c r="B61" l="1"/>
  <c r="B32"/>
  <c r="B36"/>
  <c r="B60"/>
  <c r="B35"/>
  <c r="B28"/>
  <c r="B22"/>
  <c r="B23"/>
  <c r="B29" l="1"/>
  <c r="B30"/>
  <c r="B37" l="1"/>
  <c r="B39"/>
  <c r="B67"/>
  <c r="B40"/>
  <c r="B62"/>
  <c r="B34"/>
  <c r="B59"/>
  <c r="B66"/>
  <c r="B64"/>
  <c r="B65"/>
  <c r="B54"/>
  <c r="B68"/>
  <c r="B63"/>
  <c r="B51"/>
  <c r="B53"/>
  <c r="B57"/>
  <c r="B55"/>
</calcChain>
</file>

<file path=xl/sharedStrings.xml><?xml version="1.0" encoding="utf-8"?>
<sst xmlns="http://schemas.openxmlformats.org/spreadsheetml/2006/main" count="86" uniqueCount="76">
  <si>
    <t>fh_</t>
  </si>
  <si>
    <t>tmax_</t>
  </si>
  <si>
    <t>font height [pixel]</t>
  </si>
  <si>
    <t>max number character per line</t>
  </si>
  <si>
    <t>dyl_</t>
  </si>
  <si>
    <t>dyi_</t>
  </si>
  <si>
    <t>dyi2_</t>
  </si>
  <si>
    <t>dyo_</t>
  </si>
  <si>
    <t>dyo2_</t>
  </si>
  <si>
    <t>dym_</t>
  </si>
  <si>
    <t>dyt_</t>
  </si>
  <si>
    <t>dxo_</t>
  </si>
  <si>
    <t>dxo2_</t>
  </si>
  <si>
    <t>dxm_</t>
  </si>
  <si>
    <t>left margin</t>
  </si>
  <si>
    <t>outer width</t>
  </si>
  <si>
    <t>half outer width</t>
  </si>
  <si>
    <t>line hight</t>
  </si>
  <si>
    <t>inner hight</t>
  </si>
  <si>
    <t xml:space="preserve"> -----------font data-------------------------------</t>
  </si>
  <si>
    <t xml:space="preserve"> -----------y direction-----------------------------</t>
  </si>
  <si>
    <t> -----------x direction-----------------------------</t>
  </si>
  <si>
    <t>half dyi_</t>
  </si>
  <si>
    <t>outer hight</t>
  </si>
  <si>
    <t>center dy</t>
  </si>
  <si>
    <t>top margin</t>
  </si>
  <si>
    <t>text start y</t>
  </si>
  <si>
    <t>inner width</t>
  </si>
  <si>
    <t>half dxi_</t>
  </si>
  <si>
    <t>text-border</t>
  </si>
  <si>
    <t>dxi_</t>
  </si>
  <si>
    <t>dxi2_</t>
  </si>
  <si>
    <t>dxt_</t>
  </si>
  <si>
    <t>ALT: dyo_</t>
  </si>
  <si>
    <t>ALT: dym_</t>
  </si>
  <si>
    <t>lines_</t>
  </si>
  <si>
    <t xml:space="preserve"> RUNDEN(0,5+22*B5/14;0)</t>
  </si>
  <si>
    <t xml:space="preserve"> -----------track values----------------------------</t>
  </si>
  <si>
    <t>tk2_</t>
  </si>
  <si>
    <t>tkk_</t>
  </si>
  <si>
    <t>tkw_</t>
  </si>
  <si>
    <t>tk3x_</t>
  </si>
  <si>
    <t>tk4x_</t>
  </si>
  <si>
    <t>tk5x_</t>
  </si>
  <si>
    <t>tk6x_</t>
  </si>
  <si>
    <t>tk7y_</t>
  </si>
  <si>
    <t>txkyo_</t>
  </si>
  <si>
    <t>tk8y_</t>
  </si>
  <si>
    <t>tk8x_</t>
  </si>
  <si>
    <t xml:space="preserve"> =10*RUNDEN(0,5+B11/10;0)</t>
  </si>
  <si>
    <t>3 | 7 | 14</t>
  </si>
  <si>
    <t>tk0x_</t>
  </si>
  <si>
    <t>tk0y_</t>
  </si>
  <si>
    <t>tk1x_</t>
  </si>
  <si>
    <t>tk1y_</t>
  </si>
  <si>
    <t>tk2x_</t>
  </si>
  <si>
    <t>tk2y_</t>
  </si>
  <si>
    <t>tk3y_</t>
  </si>
  <si>
    <t>tk4y_</t>
  </si>
  <si>
    <t>tk5y_</t>
  </si>
  <si>
    <t>tk6y_</t>
  </si>
  <si>
    <t>tk7x_</t>
  </si>
  <si>
    <t xml:space="preserve"> =dyo_/10 oder dyo_/8</t>
  </si>
  <si>
    <t>RCC5V_GUI: Berechnung der Zellengeometrie und Gleispunkte</t>
  </si>
  <si>
    <t xml:space="preserve"> =B13/8</t>
  </si>
  <si>
    <t xml:space="preserve"> =dyo_/dxo_ Steigung</t>
  </si>
  <si>
    <t xml:space="preserve"> =WURZEL(1+B28*B28)</t>
  </si>
  <si>
    <t xml:space="preserve"> =====ALTE BEZEICHNUNGEN==========</t>
  </si>
  <si>
    <t xml:space="preserve"> =====NEUE BEZEICHNUNGEN=====</t>
  </si>
  <si>
    <t>tkp0x_</t>
  </si>
  <si>
    <t>tkp0y_</t>
  </si>
  <si>
    <t>tkp1x_</t>
  </si>
  <si>
    <t>tkp1y_</t>
  </si>
  <si>
    <t xml:space="preserve"> =-B28*B27/B29</t>
  </si>
  <si>
    <t>q1x</t>
  </si>
  <si>
    <t>q2y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</si>
</sst>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rgb="FF6A995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2" fontId="0" fillId="0" borderId="0" xfId="0" applyNumberFormat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topLeftCell="A10" workbookViewId="0">
      <selection activeCell="B37" sqref="B37"/>
    </sheetView>
  </sheetViews>
  <sheetFormatPr baseColWidth="10" defaultRowHeight="15"/>
  <cols>
    <col min="2" max="2" width="8" customWidth="1"/>
    <col min="3" max="3" width="2.28515625" customWidth="1"/>
    <col min="4" max="4" width="25.85546875" customWidth="1"/>
  </cols>
  <sheetData>
    <row r="1" spans="1:5">
      <c r="A1" t="s">
        <v>63</v>
      </c>
    </row>
    <row r="4" spans="1:5">
      <c r="A4" s="1" t="s">
        <v>19</v>
      </c>
    </row>
    <row r="5" spans="1:5">
      <c r="A5" t="s">
        <v>0</v>
      </c>
      <c r="B5" s="3">
        <v>6</v>
      </c>
      <c r="D5" s="1" t="s">
        <v>2</v>
      </c>
      <c r="E5" t="s">
        <v>50</v>
      </c>
    </row>
    <row r="6" spans="1:5">
      <c r="A6" t="s">
        <v>1</v>
      </c>
      <c r="B6">
        <v>10</v>
      </c>
      <c r="D6" s="1" t="s">
        <v>3</v>
      </c>
    </row>
    <row r="7" spans="1:5">
      <c r="A7" t="s">
        <v>35</v>
      </c>
      <c r="B7">
        <v>5</v>
      </c>
      <c r="D7" s="1"/>
    </row>
    <row r="9" spans="1:5">
      <c r="A9" s="1" t="s">
        <v>20</v>
      </c>
    </row>
    <row r="10" spans="1:5">
      <c r="A10" t="s">
        <v>4</v>
      </c>
      <c r="B10">
        <f xml:space="preserve"> ROUND(0.5 + 22*B5/14,0)</f>
        <v>10</v>
      </c>
      <c r="D10" s="1" t="s">
        <v>17</v>
      </c>
      <c r="E10" t="s">
        <v>36</v>
      </c>
    </row>
    <row r="11" spans="1:5">
      <c r="A11" t="s">
        <v>5</v>
      </c>
      <c r="B11">
        <f>B7*B10</f>
        <v>50</v>
      </c>
      <c r="D11" s="1" t="s">
        <v>18</v>
      </c>
    </row>
    <row r="12" spans="1:5">
      <c r="A12" t="s">
        <v>6</v>
      </c>
      <c r="B12">
        <f>ROUND(B11/2,0)</f>
        <v>25</v>
      </c>
      <c r="D12" s="1" t="s">
        <v>22</v>
      </c>
    </row>
    <row r="13" spans="1:5">
      <c r="A13" t="s">
        <v>7</v>
      </c>
      <c r="B13" s="4">
        <f>10*ROUND(0.5+B11/10,0)</f>
        <v>60</v>
      </c>
      <c r="D13" s="1" t="s">
        <v>23</v>
      </c>
      <c r="E13" t="s">
        <v>49</v>
      </c>
    </row>
    <row r="14" spans="1:5">
      <c r="A14" t="s">
        <v>8</v>
      </c>
      <c r="B14">
        <f>ROUND(B13/2,0)</f>
        <v>30</v>
      </c>
      <c r="D14" s="1" t="s">
        <v>24</v>
      </c>
    </row>
    <row r="15" spans="1:5">
      <c r="A15" t="s">
        <v>9</v>
      </c>
      <c r="B15">
        <f>ROUND((B13-B11)/2,0)</f>
        <v>5</v>
      </c>
      <c r="D15" s="1" t="s">
        <v>25</v>
      </c>
    </row>
    <row r="16" spans="1:5">
      <c r="A16" t="s">
        <v>10</v>
      </c>
      <c r="B16">
        <f>ROUND(0.5+17/14*B5, 0)</f>
        <v>8</v>
      </c>
      <c r="D16" s="1" t="s">
        <v>26</v>
      </c>
    </row>
    <row r="18" spans="1:5">
      <c r="A18" s="1" t="s">
        <v>21</v>
      </c>
    </row>
    <row r="19" spans="1:5">
      <c r="A19" t="s">
        <v>11</v>
      </c>
      <c r="B19" s="2">
        <f>2*ROUND(4/3*B13/2,0)</f>
        <v>80</v>
      </c>
      <c r="D19" s="1" t="s">
        <v>15</v>
      </c>
      <c r="E19" t="s">
        <v>33</v>
      </c>
    </row>
    <row r="20" spans="1:5">
      <c r="A20" t="s">
        <v>12</v>
      </c>
      <c r="B20">
        <f>ROUND(B19/2,0)</f>
        <v>40</v>
      </c>
      <c r="D20" s="1" t="s">
        <v>16</v>
      </c>
    </row>
    <row r="21" spans="1:5">
      <c r="A21" t="s">
        <v>13</v>
      </c>
      <c r="B21">
        <f>B15</f>
        <v>5</v>
      </c>
      <c r="D21" s="1" t="s">
        <v>14</v>
      </c>
      <c r="E21" t="s">
        <v>34</v>
      </c>
    </row>
    <row r="22" spans="1:5">
      <c r="A22" t="s">
        <v>30</v>
      </c>
      <c r="B22">
        <f>B19-2*B21</f>
        <v>70</v>
      </c>
      <c r="D22" s="1" t="s">
        <v>27</v>
      </c>
    </row>
    <row r="23" spans="1:5">
      <c r="A23" t="s">
        <v>31</v>
      </c>
      <c r="B23">
        <f>B20-B21</f>
        <v>35</v>
      </c>
      <c r="D23" s="1" t="s">
        <v>28</v>
      </c>
    </row>
    <row r="24" spans="1:5">
      <c r="A24" t="s">
        <v>32</v>
      </c>
      <c r="B24">
        <f>ROUND(0.5+B5/14+18/14,0)</f>
        <v>2</v>
      </c>
      <c r="D24" s="1" t="s">
        <v>29</v>
      </c>
    </row>
    <row r="26" spans="1:5">
      <c r="A26" s="1" t="s">
        <v>37</v>
      </c>
    </row>
    <row r="27" spans="1:5">
      <c r="A27" t="s">
        <v>38</v>
      </c>
      <c r="B27" s="6">
        <f>B13/8</f>
        <v>7.5</v>
      </c>
      <c r="D27" t="s">
        <v>62</v>
      </c>
      <c r="E27" t="s">
        <v>64</v>
      </c>
    </row>
    <row r="28" spans="1:5">
      <c r="A28" t="s">
        <v>39</v>
      </c>
      <c r="B28" s="5">
        <f>B13/B19</f>
        <v>0.75</v>
      </c>
      <c r="D28" t="s">
        <v>65</v>
      </c>
    </row>
    <row r="29" spans="1:5">
      <c r="A29" t="s">
        <v>40</v>
      </c>
      <c r="B29" s="5">
        <f>SQRT(1+B28*B28)</f>
        <v>1.25</v>
      </c>
      <c r="D29" t="s">
        <v>66</v>
      </c>
    </row>
    <row r="30" spans="1:5">
      <c r="A30" t="s">
        <v>46</v>
      </c>
      <c r="B30" s="5">
        <f>B19+B28*B13</f>
        <v>125</v>
      </c>
    </row>
    <row r="31" spans="1:5">
      <c r="A31" t="s">
        <v>68</v>
      </c>
      <c r="B31" s="5"/>
    </row>
    <row r="32" spans="1:5">
      <c r="A32" t="s">
        <v>69</v>
      </c>
      <c r="B32" s="5">
        <f>dxo2_</f>
        <v>40</v>
      </c>
    </row>
    <row r="33" spans="1:2">
      <c r="A33" t="s">
        <v>70</v>
      </c>
      <c r="B33" s="5">
        <f>tk2_</f>
        <v>7.5</v>
      </c>
    </row>
    <row r="34" spans="1:2">
      <c r="A34" t="s">
        <v>71</v>
      </c>
      <c r="B34" s="5">
        <f xml:space="preserve"> (dyo2_ - tk2_ * tkw_) / tkk_</f>
        <v>27.5</v>
      </c>
    </row>
    <row r="35" spans="1:2">
      <c r="A35" t="s">
        <v>72</v>
      </c>
      <c r="B35" s="5">
        <f>dyo2_</f>
        <v>30</v>
      </c>
    </row>
    <row r="36" spans="1:2">
      <c r="A36" t="s">
        <v>55</v>
      </c>
      <c r="B36" s="5">
        <f>dxo2_</f>
        <v>40</v>
      </c>
    </row>
    <row r="37" spans="1:2">
      <c r="A37" t="s">
        <v>56</v>
      </c>
      <c r="B37" s="5">
        <f>tkk_ * dxo2_ - tk2_ * tkw_</f>
        <v>20.625</v>
      </c>
    </row>
    <row r="38" spans="1:2">
      <c r="A38" t="s">
        <v>41</v>
      </c>
      <c r="B38" s="5">
        <v>0</v>
      </c>
    </row>
    <row r="39" spans="1:2">
      <c r="A39" t="s">
        <v>57</v>
      </c>
      <c r="B39" s="5">
        <f>tk2_*tkw_</f>
        <v>9.375</v>
      </c>
    </row>
    <row r="40" spans="1:2">
      <c r="A40" t="s">
        <v>42</v>
      </c>
      <c r="B40" s="5">
        <f xml:space="preserve"> tkk_ * tk2_ / tkw_</f>
        <v>4.5</v>
      </c>
    </row>
    <row r="41" spans="1:2">
      <c r="A41" t="s">
        <v>58</v>
      </c>
      <c r="B41" s="5">
        <f xml:space="preserve"> -tk2_ / tkw_</f>
        <v>-6</v>
      </c>
    </row>
    <row r="42" spans="1:2">
      <c r="A42" t="s">
        <v>43</v>
      </c>
      <c r="B42" s="5">
        <f xml:space="preserve"> tk2_ * (tkw_ - 1) / tkk_</f>
        <v>2.5</v>
      </c>
    </row>
    <row r="43" spans="1:2">
      <c r="A43" t="s">
        <v>59</v>
      </c>
      <c r="B43" s="5">
        <f xml:space="preserve"> -tk2_</f>
        <v>-7.5</v>
      </c>
    </row>
    <row r="44" spans="1:2">
      <c r="A44" t="s">
        <v>44</v>
      </c>
      <c r="B44" s="5">
        <f xml:space="preserve"> tk2_ * tkw_ / tkk_</f>
        <v>12.5</v>
      </c>
    </row>
    <row r="45" spans="1:2">
      <c r="A45" t="s">
        <v>60</v>
      </c>
      <c r="B45" s="5">
        <v>0</v>
      </c>
    </row>
    <row r="46" spans="1:2">
      <c r="B46" s="5"/>
    </row>
    <row r="47" spans="1:2">
      <c r="A47" t="s">
        <v>74</v>
      </c>
      <c r="B47" s="5">
        <f>dxo2_ -B34</f>
        <v>12.5</v>
      </c>
    </row>
    <row r="48" spans="1:2">
      <c r="A48" t="s">
        <v>75</v>
      </c>
      <c r="B48" s="5">
        <f>dyo2_ -B37</f>
        <v>9.375</v>
      </c>
    </row>
    <row r="49" spans="1:2">
      <c r="B49" s="5"/>
    </row>
    <row r="50" spans="1:2">
      <c r="A50" t="s">
        <v>67</v>
      </c>
      <c r="B50" s="5"/>
    </row>
    <row r="51" spans="1:2">
      <c r="A51" t="s">
        <v>51</v>
      </c>
      <c r="B51" s="5">
        <f>B27*(1-B29)/B28</f>
        <v>-2.5</v>
      </c>
    </row>
    <row r="52" spans="1:2">
      <c r="A52" t="s">
        <v>52</v>
      </c>
      <c r="B52" s="5">
        <f>-B27</f>
        <v>-7.5</v>
      </c>
    </row>
    <row r="53" spans="1:2">
      <c r="A53" t="s">
        <v>53</v>
      </c>
      <c r="B53" s="5">
        <f>(-2*B28/B29-(1-B29)/B28)*B27</f>
        <v>-6.5</v>
      </c>
    </row>
    <row r="54" spans="1:2">
      <c r="A54" t="s">
        <v>54</v>
      </c>
      <c r="B54" s="5">
        <f>(1 - 2/B29)*B27</f>
        <v>-4.5000000000000009</v>
      </c>
    </row>
    <row r="55" spans="1:2">
      <c r="A55" t="s">
        <v>55</v>
      </c>
      <c r="B55" s="5">
        <f>B27*B29/B28</f>
        <v>12.5</v>
      </c>
    </row>
    <row r="56" spans="1:2">
      <c r="A56" t="s">
        <v>56</v>
      </c>
      <c r="B56" s="5">
        <v>0</v>
      </c>
    </row>
    <row r="57" spans="1:2">
      <c r="A57" t="s">
        <v>41</v>
      </c>
      <c r="B57" s="5">
        <f>B27*(1+B29)/B28</f>
        <v>22.5</v>
      </c>
    </row>
    <row r="58" spans="1:2">
      <c r="A58" t="s">
        <v>57</v>
      </c>
      <c r="B58" s="5">
        <f>-B27</f>
        <v>-7.5</v>
      </c>
    </row>
    <row r="59" spans="1:2">
      <c r="A59" t="s">
        <v>42</v>
      </c>
      <c r="B59" s="5">
        <f>(B14-B27*B29)/B28</f>
        <v>27.5</v>
      </c>
    </row>
    <row r="60" spans="1:2">
      <c r="A60" t="s">
        <v>58</v>
      </c>
      <c r="B60" s="5">
        <f>-B14</f>
        <v>-30</v>
      </c>
    </row>
    <row r="61" spans="1:2">
      <c r="A61" t="s">
        <v>43</v>
      </c>
      <c r="B61" s="5">
        <f>B20</f>
        <v>40</v>
      </c>
    </row>
    <row r="62" spans="1:2">
      <c r="A62" t="s">
        <v>59</v>
      </c>
      <c r="B62" s="5">
        <f>-B27*B29-B28*B20</f>
        <v>-39.375</v>
      </c>
    </row>
    <row r="63" spans="1:2">
      <c r="A63" t="s">
        <v>44</v>
      </c>
      <c r="B63" s="5">
        <f>(-B28*B27*B29+B30/2)/(1+B28*B28)</f>
        <v>35.5</v>
      </c>
    </row>
    <row r="64" spans="1:2">
      <c r="A64" t="s">
        <v>60</v>
      </c>
      <c r="B64" s="5">
        <f>-(B28*B30/2+B27*B29)/(1+B28*B28)</f>
        <v>-36</v>
      </c>
    </row>
    <row r="65" spans="1:4">
      <c r="A65" t="s">
        <v>61</v>
      </c>
      <c r="B65" s="5">
        <f>(B28*B27*B29+B30/2)/(1+B28*B28)</f>
        <v>44.5</v>
      </c>
    </row>
    <row r="66" spans="1:4">
      <c r="A66" t="s">
        <v>45</v>
      </c>
      <c r="B66" s="5">
        <f>-(B28*B30/2-B27*B29)/(1+B28*B28)</f>
        <v>-24</v>
      </c>
    </row>
    <row r="67" spans="1:4">
      <c r="A67" t="s">
        <v>48</v>
      </c>
      <c r="B67" s="5">
        <f>-B28*B27/B29</f>
        <v>-4.5</v>
      </c>
      <c r="D67" s="5" t="s">
        <v>73</v>
      </c>
    </row>
    <row r="68" spans="1:4">
      <c r="A68" t="s">
        <v>47</v>
      </c>
      <c r="B68" s="5">
        <f>-B27/B29</f>
        <v>-6</v>
      </c>
      <c r="D68" s="5"/>
    </row>
    <row r="69" spans="1:4">
      <c r="B69" s="5"/>
    </row>
    <row r="70" spans="1:4">
      <c r="B70" s="5"/>
    </row>
    <row r="71" spans="1:4">
      <c r="B71" s="5"/>
    </row>
    <row r="72" spans="1:4">
      <c r="B72" s="5"/>
    </row>
    <row r="73" spans="1:4">
      <c r="B73" s="5"/>
    </row>
    <row r="75" spans="1:4">
      <c r="B75" s="5"/>
    </row>
    <row r="76" spans="1:4">
      <c r="B76" s="5"/>
    </row>
    <row r="77" spans="1:4">
      <c r="B77" s="5"/>
    </row>
    <row r="78" spans="1:4">
      <c r="B78" s="5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5</vt:i4>
      </vt:variant>
    </vt:vector>
  </HeadingPairs>
  <TitlesOfParts>
    <vt:vector size="8" baseType="lpstr">
      <vt:lpstr>Text3</vt:lpstr>
      <vt:lpstr>Tabelle2</vt:lpstr>
      <vt:lpstr>Tabelle3</vt:lpstr>
      <vt:lpstr>dxo2_</vt:lpstr>
      <vt:lpstr>dyo2_</vt:lpstr>
      <vt:lpstr>tk2_</vt:lpstr>
      <vt:lpstr>tkk_</vt:lpstr>
      <vt:lpstr>tkw_</vt:lpstr>
    </vt:vector>
  </TitlesOfParts>
  <Company>Privat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2025-12-27T13:14:11Z</dcterms:created>
  <dcterms:modified xsi:type="dcterms:W3CDTF">2026-01-26T09:02:40Z</dcterms:modified>
</cp:coreProperties>
</file>